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c9f0e62301e1d77/2 Entertainment/_ws479/479_workshop/"/>
    </mc:Choice>
  </mc:AlternateContent>
  <xr:revisionPtr revIDLastSave="621" documentId="8_{4719A5A0-80EA-43E0-BBBA-AD264EB3DC02}" xr6:coauthVersionLast="47" xr6:coauthVersionMax="47" xr10:uidLastSave="{F8B68E8C-1C54-4C77-9A43-910CAD2AE6F1}"/>
  <bookViews>
    <workbookView xWindow="-108" yWindow="-108" windowWidth="23256" windowHeight="12720" activeTab="5" xr2:uid="{FBEAC31B-D408-484C-AA44-448AEB9B7977}"/>
  </bookViews>
  <sheets>
    <sheet name="現金帳" sheetId="1" r:id="rId1"/>
    <sheet name="進貨" sheetId="4" r:id="rId2"/>
    <sheet name="鎖貨" sheetId="5" r:id="rId3"/>
    <sheet name="庫存" sheetId="3" r:id="rId4"/>
    <sheet name="儀器" sheetId="6" r:id="rId5"/>
    <sheet name="設定" sheetId="2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1" i="4" l="1"/>
  <c r="H10" i="4"/>
  <c r="H9" i="4"/>
  <c r="I12" i="4" s="1"/>
  <c r="H7" i="4"/>
  <c r="H6" i="4"/>
  <c r="I8" i="4" s="1"/>
  <c r="H5" i="4"/>
  <c r="I5" i="4" s="1"/>
  <c r="I4" i="4"/>
  <c r="H4" i="4"/>
  <c r="I3" i="4"/>
  <c r="H3" i="4"/>
  <c r="H1" i="6"/>
  <c r="H6" i="6"/>
  <c r="G5" i="6"/>
  <c r="G4" i="6"/>
  <c r="G3" i="6"/>
  <c r="I1" i="4" l="1"/>
  <c r="U26" i="1"/>
  <c r="P26" i="1"/>
  <c r="L24" i="1"/>
  <c r="L23" i="1"/>
  <c r="L20" i="1"/>
  <c r="R20" i="1" s="1"/>
  <c r="K20" i="1"/>
  <c r="U22" i="1"/>
  <c r="P22" i="1"/>
  <c r="K19" i="1"/>
  <c r="L19" i="1" s="1"/>
  <c r="R19" i="1" s="1"/>
  <c r="U18" i="1"/>
  <c r="P18" i="1"/>
  <c r="K16" i="1"/>
  <c r="L16" i="1" s="1"/>
  <c r="K15" i="1"/>
  <c r="L15" i="1" s="1"/>
  <c r="O1" i="1"/>
  <c r="U14" i="1"/>
  <c r="P14" i="1"/>
  <c r="M14" i="1"/>
  <c r="V14" i="1" s="1"/>
  <c r="K12" i="1"/>
  <c r="L12" i="1" s="1"/>
  <c r="K11" i="1"/>
  <c r="L11" i="1" s="1"/>
  <c r="U10" i="1"/>
  <c r="M10" i="1"/>
  <c r="V10" i="1" s="1"/>
  <c r="K9" i="1"/>
  <c r="L9" i="1" s="1"/>
  <c r="R5" i="1"/>
  <c r="R4" i="1"/>
  <c r="U8" i="1"/>
  <c r="P8" i="1"/>
  <c r="N8" i="1"/>
  <c r="K4" i="1"/>
  <c r="L4" i="1" s="1"/>
  <c r="K5" i="1"/>
  <c r="L5" i="1" s="1"/>
  <c r="Q5" i="1" s="1"/>
  <c r="K3" i="1"/>
  <c r="L3" i="1" s="1"/>
  <c r="Q3" i="1" s="1"/>
  <c r="M26" i="1" l="1"/>
  <c r="V26" i="1" s="1"/>
  <c r="R23" i="1"/>
  <c r="Q23" i="1"/>
  <c r="Q24" i="1"/>
  <c r="R24" i="1"/>
  <c r="Q20" i="1"/>
  <c r="R22" i="1"/>
  <c r="U1" i="1"/>
  <c r="M22" i="1"/>
  <c r="V22" i="1" s="1"/>
  <c r="Q19" i="1"/>
  <c r="R15" i="1"/>
  <c r="R18" i="1" s="1"/>
  <c r="Q15" i="1"/>
  <c r="Q18" i="1" s="1"/>
  <c r="M18" i="1"/>
  <c r="R11" i="1"/>
  <c r="R14" i="1" s="1"/>
  <c r="Q11" i="1"/>
  <c r="Q14" i="1" s="1"/>
  <c r="R3" i="1"/>
  <c r="R8" i="1" s="1"/>
  <c r="M8" i="1"/>
  <c r="V8" i="1"/>
  <c r="Q4" i="1"/>
  <c r="R26" i="1" l="1"/>
  <c r="Q26" i="1"/>
  <c r="Q22" i="1"/>
  <c r="V18" i="1"/>
  <c r="V1" i="1" s="1"/>
  <c r="M1" i="1"/>
  <c r="Q8" i="1"/>
</calcChain>
</file>

<file path=xl/sharedStrings.xml><?xml version="1.0" encoding="utf-8"?>
<sst xmlns="http://schemas.openxmlformats.org/spreadsheetml/2006/main" count="193" uniqueCount="130">
  <si>
    <t>客戶</t>
    <phoneticPr fontId="1" type="noConversion"/>
  </si>
  <si>
    <t>NK</t>
    <phoneticPr fontId="1" type="noConversion"/>
  </si>
  <si>
    <t>20260201-01</t>
    <phoneticPr fontId="1" type="noConversion"/>
  </si>
  <si>
    <t>D2D-001</t>
    <phoneticPr fontId="1" type="noConversion"/>
  </si>
  <si>
    <t>20260201-02</t>
  </si>
  <si>
    <t>20260201-03</t>
  </si>
  <si>
    <r>
      <rPr>
        <b/>
        <sz val="12"/>
        <color theme="1"/>
        <rFont val="標楷體"/>
        <family val="4"/>
        <charset val="136"/>
      </rPr>
      <t>客戶</t>
    </r>
    <phoneticPr fontId="1" type="noConversion"/>
  </si>
  <si>
    <r>
      <rPr>
        <b/>
        <sz val="12"/>
        <color theme="1"/>
        <rFont val="標楷體"/>
        <family val="4"/>
        <charset val="136"/>
      </rPr>
      <t>療程項目</t>
    </r>
    <phoneticPr fontId="1" type="noConversion"/>
  </si>
  <si>
    <r>
      <rPr>
        <b/>
        <sz val="12"/>
        <color theme="1"/>
        <rFont val="標楷體"/>
        <family val="4"/>
        <charset val="136"/>
      </rPr>
      <t>訂價</t>
    </r>
    <phoneticPr fontId="1" type="noConversion"/>
  </si>
  <si>
    <r>
      <rPr>
        <b/>
        <sz val="12"/>
        <color theme="1"/>
        <rFont val="標楷體"/>
        <family val="4"/>
        <charset val="136"/>
      </rPr>
      <t>折扣</t>
    </r>
    <phoneticPr fontId="1" type="noConversion"/>
  </si>
  <si>
    <r>
      <rPr>
        <b/>
        <sz val="12"/>
        <color theme="1"/>
        <rFont val="標楷體"/>
        <family val="4"/>
        <charset val="136"/>
      </rPr>
      <t>折扣金額</t>
    </r>
    <phoneticPr fontId="1" type="noConversion"/>
  </si>
  <si>
    <r>
      <rPr>
        <b/>
        <sz val="12"/>
        <color theme="1"/>
        <rFont val="標楷體"/>
        <family val="4"/>
        <charset val="136"/>
      </rPr>
      <t>收入</t>
    </r>
    <phoneticPr fontId="1" type="noConversion"/>
  </si>
  <si>
    <r>
      <rPr>
        <b/>
        <sz val="12"/>
        <color theme="1"/>
        <rFont val="標楷體"/>
        <family val="4"/>
        <charset val="136"/>
      </rPr>
      <t>成本</t>
    </r>
    <phoneticPr fontId="1" type="noConversion"/>
  </si>
  <si>
    <r>
      <rPr>
        <b/>
        <sz val="12"/>
        <color theme="1"/>
        <rFont val="標楷體"/>
        <family val="4"/>
        <charset val="136"/>
      </rPr>
      <t>毛利</t>
    </r>
    <phoneticPr fontId="1" type="noConversion"/>
  </si>
  <si>
    <r>
      <rPr>
        <b/>
        <sz val="12"/>
        <color theme="1"/>
        <rFont val="標楷體"/>
        <family val="4"/>
        <charset val="136"/>
      </rPr>
      <t>毛利率</t>
    </r>
    <phoneticPr fontId="1" type="noConversion"/>
  </si>
  <si>
    <r>
      <rPr>
        <b/>
        <sz val="12"/>
        <color theme="1"/>
        <rFont val="標楷體"/>
        <family val="4"/>
        <charset val="136"/>
      </rPr>
      <t>費用名稱</t>
    </r>
    <phoneticPr fontId="1" type="noConversion"/>
  </si>
  <si>
    <r>
      <rPr>
        <b/>
        <sz val="12"/>
        <color theme="1"/>
        <rFont val="標楷體"/>
        <family val="4"/>
        <charset val="136"/>
      </rPr>
      <t>費用金額</t>
    </r>
    <phoneticPr fontId="1" type="noConversion"/>
  </si>
  <si>
    <r>
      <rPr>
        <b/>
        <sz val="12"/>
        <color theme="1"/>
        <rFont val="標楷體"/>
        <family val="4"/>
        <charset val="136"/>
      </rPr>
      <t>訂單毛利</t>
    </r>
    <phoneticPr fontId="1" type="noConversion"/>
  </si>
  <si>
    <r>
      <rPr>
        <sz val="12"/>
        <color theme="1"/>
        <rFont val="標楷體"/>
        <family val="4"/>
        <charset val="136"/>
      </rPr>
      <t>佳雯</t>
    </r>
    <phoneticPr fontId="1" type="noConversion"/>
  </si>
  <si>
    <r>
      <rPr>
        <sz val="12"/>
        <color theme="1"/>
        <rFont val="標楷體"/>
        <family val="4"/>
        <charset val="136"/>
      </rPr>
      <t>醫療</t>
    </r>
    <phoneticPr fontId="1" type="noConversion"/>
  </si>
  <si>
    <r>
      <rPr>
        <sz val="12"/>
        <color theme="1"/>
        <rFont val="標楷體"/>
        <family val="4"/>
        <charset val="136"/>
      </rPr>
      <t>打針</t>
    </r>
    <phoneticPr fontId="1" type="noConversion"/>
  </si>
  <si>
    <r>
      <rPr>
        <sz val="12"/>
        <color theme="1"/>
        <rFont val="標楷體"/>
        <family val="4"/>
        <charset val="136"/>
      </rPr>
      <t>李妹</t>
    </r>
  </si>
  <si>
    <r>
      <rPr>
        <sz val="12"/>
        <color theme="1"/>
        <rFont val="標楷體"/>
        <family val="4"/>
        <charset val="136"/>
      </rPr>
      <t>華華</t>
    </r>
  </si>
  <si>
    <r>
      <rPr>
        <sz val="12"/>
        <color theme="1"/>
        <rFont val="標楷體"/>
        <family val="4"/>
        <charset val="136"/>
      </rPr>
      <t>護士</t>
    </r>
  </si>
  <si>
    <r>
      <rPr>
        <sz val="12"/>
        <color theme="1"/>
        <rFont val="標楷體"/>
        <family val="4"/>
        <charset val="136"/>
      </rPr>
      <t>計程車</t>
    </r>
  </si>
  <si>
    <t>費用小計</t>
    <phoneticPr fontId="1" type="noConversion"/>
  </si>
  <si>
    <t>成本小計</t>
    <phoneticPr fontId="1" type="noConversion"/>
  </si>
  <si>
    <t>D2D-002</t>
    <phoneticPr fontId="1" type="noConversion"/>
  </si>
  <si>
    <t>涓姐</t>
  </si>
  <si>
    <t>美容</t>
  </si>
  <si>
    <t>做臉</t>
  </si>
  <si>
    <t>D2D-003</t>
    <phoneticPr fontId="1" type="noConversion"/>
  </si>
  <si>
    <t>20260202-01</t>
    <phoneticPr fontId="1" type="noConversion"/>
  </si>
  <si>
    <t>20260205-01</t>
    <phoneticPr fontId="1" type="noConversion"/>
  </si>
  <si>
    <t>20260205-02</t>
    <phoneticPr fontId="1" type="noConversion"/>
  </si>
  <si>
    <t>D2D-004</t>
    <phoneticPr fontId="1" type="noConversion"/>
  </si>
  <si>
    <t>20260209-01</t>
    <phoneticPr fontId="1" type="noConversion"/>
  </si>
  <si>
    <t>20260209-02</t>
    <phoneticPr fontId="1" type="noConversion"/>
  </si>
  <si>
    <t>D2D-005</t>
    <phoneticPr fontId="1" type="noConversion"/>
  </si>
  <si>
    <t>張兄</t>
  </si>
  <si>
    <t>20260212-01</t>
    <phoneticPr fontId="1" type="noConversion"/>
  </si>
  <si>
    <t>張弟</t>
  </si>
  <si>
    <t>20260212-02</t>
  </si>
  <si>
    <t>D2D-006</t>
    <phoneticPr fontId="1" type="noConversion"/>
  </si>
  <si>
    <t>李姐</t>
  </si>
  <si>
    <t>李妹</t>
  </si>
  <si>
    <t>20260215-01</t>
    <phoneticPr fontId="1" type="noConversion"/>
  </si>
  <si>
    <t>20260215-02</t>
  </si>
  <si>
    <t>PO-2026-001</t>
    <phoneticPr fontId="1" type="noConversion"/>
  </si>
  <si>
    <t>PE-001</t>
    <phoneticPr fontId="1" type="noConversion"/>
  </si>
  <si>
    <t>EQ-001</t>
    <phoneticPr fontId="1" type="noConversion"/>
  </si>
  <si>
    <r>
      <rPr>
        <sz val="12"/>
        <color theme="1"/>
        <rFont val="標楷體"/>
        <family val="4"/>
        <charset val="136"/>
      </rPr>
      <t>陳</t>
    </r>
  </si>
  <si>
    <r>
      <rPr>
        <sz val="12"/>
        <color theme="1"/>
        <rFont val="標楷體"/>
        <family val="4"/>
        <charset val="136"/>
      </rPr>
      <t>導入儀</t>
    </r>
    <phoneticPr fontId="1" type="noConversion"/>
  </si>
  <si>
    <r>
      <rPr>
        <sz val="12"/>
        <color theme="1"/>
        <rFont val="標楷體"/>
        <family val="4"/>
        <charset val="136"/>
      </rPr>
      <t>美顏機</t>
    </r>
    <phoneticPr fontId="1" type="noConversion"/>
  </si>
  <si>
    <r>
      <rPr>
        <sz val="12"/>
        <color theme="1"/>
        <rFont val="標楷體"/>
        <family val="4"/>
        <charset val="136"/>
      </rPr>
      <t>推指儀</t>
    </r>
    <phoneticPr fontId="1" type="noConversion"/>
  </si>
  <si>
    <r>
      <rPr>
        <b/>
        <sz val="12"/>
        <color theme="1"/>
        <rFont val="標楷體"/>
        <family val="4"/>
        <charset val="136"/>
      </rPr>
      <t>儀品採購單號</t>
    </r>
    <phoneticPr fontId="1" type="noConversion"/>
  </si>
  <si>
    <r>
      <rPr>
        <b/>
        <sz val="12"/>
        <color theme="1"/>
        <rFont val="標楷體"/>
        <family val="4"/>
        <charset val="136"/>
      </rPr>
      <t>採購日期</t>
    </r>
    <phoneticPr fontId="1" type="noConversion"/>
  </si>
  <si>
    <r>
      <rPr>
        <b/>
        <sz val="12"/>
        <color theme="1"/>
        <rFont val="標楷體"/>
        <family val="4"/>
        <charset val="136"/>
      </rPr>
      <t>供應商</t>
    </r>
    <phoneticPr fontId="1" type="noConversion"/>
  </si>
  <si>
    <r>
      <rPr>
        <b/>
        <sz val="12"/>
        <color theme="1"/>
        <rFont val="標楷體"/>
        <family val="4"/>
        <charset val="136"/>
      </rPr>
      <t>儀器名稱</t>
    </r>
    <phoneticPr fontId="1" type="noConversion"/>
  </si>
  <si>
    <r>
      <rPr>
        <b/>
        <sz val="12"/>
        <color theme="1"/>
        <rFont val="標楷體"/>
        <family val="4"/>
        <charset val="136"/>
      </rPr>
      <t>單價</t>
    </r>
    <phoneticPr fontId="1" type="noConversion"/>
  </si>
  <si>
    <r>
      <rPr>
        <b/>
        <sz val="12"/>
        <color theme="1"/>
        <rFont val="標楷體"/>
        <family val="4"/>
        <charset val="136"/>
      </rPr>
      <t>數量</t>
    </r>
    <phoneticPr fontId="1" type="noConversion"/>
  </si>
  <si>
    <r>
      <rPr>
        <b/>
        <sz val="12"/>
        <color theme="1"/>
        <rFont val="標楷體"/>
        <family val="4"/>
        <charset val="136"/>
      </rPr>
      <t>金額</t>
    </r>
    <phoneticPr fontId="1" type="noConversion"/>
  </si>
  <si>
    <r>
      <rPr>
        <b/>
        <sz val="12"/>
        <color theme="1"/>
        <rFont val="標楷體"/>
        <family val="4"/>
        <charset val="136"/>
      </rPr>
      <t>總金額</t>
    </r>
    <phoneticPr fontId="1" type="noConversion"/>
  </si>
  <si>
    <r>
      <rPr>
        <b/>
        <sz val="12"/>
        <color theme="1"/>
        <rFont val="標楷體"/>
        <family val="4"/>
        <charset val="136"/>
      </rPr>
      <t>儀器編號</t>
    </r>
    <phoneticPr fontId="1" type="noConversion"/>
  </si>
  <si>
    <t>PO-2026-002</t>
  </si>
  <si>
    <t>PO-2026-003</t>
  </si>
  <si>
    <t>PO-2026-004</t>
  </si>
  <si>
    <r>
      <rPr>
        <sz val="12"/>
        <color theme="1"/>
        <rFont val="標楷體"/>
        <family val="4"/>
        <charset val="136"/>
      </rPr>
      <t>仙女</t>
    </r>
    <phoneticPr fontId="1" type="noConversion"/>
  </si>
  <si>
    <r>
      <rPr>
        <sz val="12"/>
        <color theme="1"/>
        <rFont val="標楷體"/>
        <family val="4"/>
        <charset val="136"/>
      </rPr>
      <t>幹細胞</t>
    </r>
    <phoneticPr fontId="1" type="noConversion"/>
  </si>
  <si>
    <r>
      <rPr>
        <sz val="12"/>
        <color theme="1"/>
        <rFont val="標楷體"/>
        <family val="4"/>
        <charset val="136"/>
      </rPr>
      <t>菲</t>
    </r>
  </si>
  <si>
    <r>
      <rPr>
        <sz val="12"/>
        <color theme="1"/>
        <rFont val="標楷體"/>
        <family val="4"/>
        <charset val="136"/>
      </rPr>
      <t>維他命針用品</t>
    </r>
  </si>
  <si>
    <r>
      <rPr>
        <sz val="12"/>
        <color theme="1"/>
        <rFont val="標楷體"/>
        <family val="4"/>
        <charset val="136"/>
      </rPr>
      <t>風</t>
    </r>
  </si>
  <si>
    <r>
      <rPr>
        <sz val="12"/>
        <color theme="1"/>
        <rFont val="標楷體"/>
        <family val="4"/>
        <charset val="136"/>
      </rPr>
      <t>安瓶綜合</t>
    </r>
  </si>
  <si>
    <r>
      <rPr>
        <sz val="12"/>
        <color theme="1"/>
        <rFont val="標楷體"/>
        <family val="4"/>
        <charset val="136"/>
      </rPr>
      <t>菲菲</t>
    </r>
  </si>
  <si>
    <r>
      <rPr>
        <sz val="12"/>
        <color theme="1"/>
        <rFont val="標楷體"/>
        <family val="4"/>
        <charset val="136"/>
      </rPr>
      <t>保養品</t>
    </r>
    <r>
      <rPr>
        <sz val="12"/>
        <color theme="1"/>
        <rFont val="Tahoma"/>
        <family val="2"/>
      </rPr>
      <t>+</t>
    </r>
    <r>
      <rPr>
        <sz val="12"/>
        <color theme="1"/>
        <rFont val="標楷體"/>
        <family val="4"/>
        <charset val="136"/>
      </rPr>
      <t>食鹽水</t>
    </r>
  </si>
  <si>
    <r>
      <rPr>
        <sz val="12"/>
        <color theme="1"/>
        <rFont val="標楷體"/>
        <family val="4"/>
        <charset val="136"/>
      </rPr>
      <t>面膜</t>
    </r>
  </si>
  <si>
    <r>
      <rPr>
        <b/>
        <sz val="12"/>
        <color theme="1"/>
        <rFont val="標楷體"/>
        <family val="4"/>
        <charset val="136"/>
      </rPr>
      <t>採購單號</t>
    </r>
    <phoneticPr fontId="1" type="noConversion"/>
  </si>
  <si>
    <r>
      <rPr>
        <b/>
        <sz val="12"/>
        <color theme="1"/>
        <rFont val="標楷體"/>
        <family val="4"/>
        <charset val="136"/>
      </rPr>
      <t>採購品項</t>
    </r>
    <phoneticPr fontId="1" type="noConversion"/>
  </si>
  <si>
    <t>PO-2026-005</t>
    <phoneticPr fontId="1" type="noConversion"/>
  </si>
  <si>
    <t>EQ-002</t>
  </si>
  <si>
    <t>EQ-003</t>
  </si>
  <si>
    <r>
      <rPr>
        <b/>
        <sz val="12"/>
        <color theme="1"/>
        <rFont val="標楷體"/>
        <family val="4"/>
        <charset val="136"/>
      </rPr>
      <t>庫存種類</t>
    </r>
    <phoneticPr fontId="1" type="noConversion"/>
  </si>
  <si>
    <r>
      <rPr>
        <sz val="12"/>
        <color theme="1"/>
        <rFont val="標楷體"/>
        <family val="4"/>
        <charset val="136"/>
      </rPr>
      <t>注射類</t>
    </r>
  </si>
  <si>
    <r>
      <rPr>
        <sz val="12"/>
        <color theme="1"/>
        <rFont val="標楷體"/>
        <family val="4"/>
        <charset val="136"/>
      </rPr>
      <t>美容產品</t>
    </r>
  </si>
  <si>
    <r>
      <rPr>
        <sz val="12"/>
        <color theme="1"/>
        <rFont val="標楷體"/>
        <family val="4"/>
        <charset val="136"/>
      </rPr>
      <t>紅藏</t>
    </r>
  </si>
  <si>
    <r>
      <rPr>
        <sz val="12"/>
        <color theme="1"/>
        <rFont val="標楷體"/>
        <family val="4"/>
        <charset val="136"/>
      </rPr>
      <t>膠原蛋白</t>
    </r>
  </si>
  <si>
    <r>
      <rPr>
        <sz val="12"/>
        <color theme="1"/>
        <rFont val="標楷體"/>
        <family val="4"/>
        <charset val="136"/>
      </rPr>
      <t>凝露</t>
    </r>
  </si>
  <si>
    <r>
      <rPr>
        <sz val="12"/>
        <color theme="1"/>
        <rFont val="標楷體"/>
        <family val="4"/>
        <charset val="136"/>
      </rPr>
      <t>精華</t>
    </r>
  </si>
  <si>
    <t>療程項目</t>
    <phoneticPr fontId="1" type="noConversion"/>
  </si>
  <si>
    <t>療程種類</t>
    <phoneticPr fontId="1" type="noConversion"/>
  </si>
  <si>
    <t>訂單編號</t>
    <phoneticPr fontId="1" type="noConversion"/>
  </si>
  <si>
    <t>日期</t>
    <phoneticPr fontId="1" type="noConversion"/>
  </si>
  <si>
    <t>療程編號</t>
    <phoneticPr fontId="1" type="noConversion"/>
  </si>
  <si>
    <t>藥材</t>
    <phoneticPr fontId="1" type="noConversion"/>
  </si>
  <si>
    <t>幹細胞</t>
  </si>
  <si>
    <r>
      <rPr>
        <sz val="12"/>
        <color theme="1"/>
        <rFont val="標楷體"/>
        <family val="4"/>
        <charset val="136"/>
      </rPr>
      <t>護士</t>
    </r>
    <phoneticPr fontId="1" type="noConversion"/>
  </si>
  <si>
    <r>
      <rPr>
        <sz val="12"/>
        <color theme="1"/>
        <rFont val="標楷體"/>
        <family val="4"/>
        <charset val="136"/>
      </rPr>
      <t>注射類</t>
    </r>
    <phoneticPr fontId="1" type="noConversion"/>
  </si>
  <si>
    <r>
      <rPr>
        <sz val="12"/>
        <color theme="1"/>
        <rFont val="標楷體"/>
        <family val="4"/>
        <charset val="136"/>
      </rPr>
      <t>陳</t>
    </r>
    <phoneticPr fontId="1" type="noConversion"/>
  </si>
  <si>
    <r>
      <rPr>
        <sz val="12"/>
        <color theme="1"/>
        <rFont val="標楷體"/>
        <family val="4"/>
        <charset val="136"/>
      </rPr>
      <t>美容</t>
    </r>
    <phoneticPr fontId="1" type="noConversion"/>
  </si>
  <si>
    <r>
      <rPr>
        <sz val="12"/>
        <color theme="1"/>
        <rFont val="標楷體"/>
        <family val="4"/>
        <charset val="136"/>
      </rPr>
      <t>做臉</t>
    </r>
    <phoneticPr fontId="1" type="noConversion"/>
  </si>
  <si>
    <r>
      <rPr>
        <sz val="12"/>
        <color theme="1"/>
        <rFont val="標楷體"/>
        <family val="4"/>
        <charset val="136"/>
      </rPr>
      <t>李妹</t>
    </r>
    <phoneticPr fontId="1" type="noConversion"/>
  </si>
  <si>
    <r>
      <rPr>
        <sz val="12"/>
        <color theme="1"/>
        <rFont val="標楷體"/>
        <family val="4"/>
        <charset val="136"/>
      </rPr>
      <t>計程車</t>
    </r>
    <phoneticPr fontId="1" type="noConversion"/>
  </si>
  <si>
    <r>
      <rPr>
        <sz val="12"/>
        <color theme="1"/>
        <rFont val="標楷體"/>
        <family val="4"/>
        <charset val="136"/>
      </rPr>
      <t>儀器耗材</t>
    </r>
    <phoneticPr fontId="1" type="noConversion"/>
  </si>
  <si>
    <r>
      <rPr>
        <sz val="12"/>
        <color theme="1"/>
        <rFont val="標楷體"/>
        <family val="4"/>
        <charset val="136"/>
      </rPr>
      <t>菲</t>
    </r>
    <phoneticPr fontId="1" type="noConversion"/>
  </si>
  <si>
    <r>
      <rPr>
        <sz val="12"/>
        <color theme="1"/>
        <rFont val="標楷體"/>
        <family val="4"/>
        <charset val="136"/>
      </rPr>
      <t>維他命針用品</t>
    </r>
    <phoneticPr fontId="1" type="noConversion"/>
  </si>
  <si>
    <r>
      <rPr>
        <sz val="12"/>
        <color theme="1"/>
        <rFont val="標楷體"/>
        <family val="4"/>
        <charset val="136"/>
      </rPr>
      <t>醫美</t>
    </r>
    <phoneticPr fontId="1" type="noConversion"/>
  </si>
  <si>
    <r>
      <rPr>
        <sz val="12"/>
        <color theme="1"/>
        <rFont val="標楷體"/>
        <family val="4"/>
        <charset val="136"/>
      </rPr>
      <t>華華</t>
    </r>
    <phoneticPr fontId="1" type="noConversion"/>
  </si>
  <si>
    <r>
      <rPr>
        <sz val="12"/>
        <color theme="1"/>
        <rFont val="標楷體"/>
        <family val="4"/>
        <charset val="136"/>
      </rPr>
      <t>美容產品</t>
    </r>
    <phoneticPr fontId="1" type="noConversion"/>
  </si>
  <si>
    <r>
      <rPr>
        <sz val="12"/>
        <color theme="1"/>
        <rFont val="標楷體"/>
        <family val="4"/>
        <charset val="136"/>
      </rPr>
      <t>風</t>
    </r>
    <phoneticPr fontId="1" type="noConversion"/>
  </si>
  <si>
    <r>
      <rPr>
        <sz val="12"/>
        <color theme="1"/>
        <rFont val="標楷體"/>
        <family val="4"/>
        <charset val="136"/>
      </rPr>
      <t>安瓶綜合</t>
    </r>
    <phoneticPr fontId="1" type="noConversion"/>
  </si>
  <si>
    <r>
      <rPr>
        <sz val="12"/>
        <color theme="1"/>
        <rFont val="標楷體"/>
        <family val="4"/>
        <charset val="136"/>
      </rPr>
      <t>涓姐</t>
    </r>
    <phoneticPr fontId="1" type="noConversion"/>
  </si>
  <si>
    <r>
      <rPr>
        <sz val="12"/>
        <color theme="1"/>
        <rFont val="標楷體"/>
        <family val="4"/>
        <charset val="136"/>
      </rPr>
      <t>消耗品</t>
    </r>
    <phoneticPr fontId="1" type="noConversion"/>
  </si>
  <si>
    <r>
      <rPr>
        <sz val="12"/>
        <color theme="1"/>
        <rFont val="標楷體"/>
        <family val="4"/>
        <charset val="136"/>
      </rPr>
      <t>菲菲</t>
    </r>
    <phoneticPr fontId="1" type="noConversion"/>
  </si>
  <si>
    <r>
      <rPr>
        <sz val="12"/>
        <color theme="1"/>
        <rFont val="標楷體"/>
        <family val="4"/>
        <charset val="136"/>
      </rPr>
      <t>保養品</t>
    </r>
    <r>
      <rPr>
        <sz val="12"/>
        <color theme="1"/>
        <rFont val="Tahoma"/>
        <family val="2"/>
      </rPr>
      <t>+</t>
    </r>
    <r>
      <rPr>
        <sz val="12"/>
        <color theme="1"/>
        <rFont val="標楷體"/>
        <family val="4"/>
        <charset val="136"/>
      </rPr>
      <t>食鹽水</t>
    </r>
    <phoneticPr fontId="1" type="noConversion"/>
  </si>
  <si>
    <r>
      <rPr>
        <sz val="12"/>
        <color theme="1"/>
        <rFont val="標楷體"/>
        <family val="4"/>
        <charset val="136"/>
      </rPr>
      <t>涓娟</t>
    </r>
    <phoneticPr fontId="1" type="noConversion"/>
  </si>
  <si>
    <r>
      <rPr>
        <sz val="12"/>
        <color theme="1"/>
        <rFont val="標楷體"/>
        <family val="4"/>
        <charset val="136"/>
      </rPr>
      <t>紅藏</t>
    </r>
    <phoneticPr fontId="1" type="noConversion"/>
  </si>
  <si>
    <r>
      <rPr>
        <sz val="12"/>
        <color theme="1"/>
        <rFont val="標楷體"/>
        <family val="4"/>
        <charset val="136"/>
      </rPr>
      <t>面膜</t>
    </r>
    <phoneticPr fontId="1" type="noConversion"/>
  </si>
  <si>
    <r>
      <rPr>
        <sz val="12"/>
        <color theme="1"/>
        <rFont val="標楷體"/>
        <family val="4"/>
        <charset val="136"/>
      </rPr>
      <t>張兄</t>
    </r>
    <phoneticPr fontId="1" type="noConversion"/>
  </si>
  <si>
    <r>
      <rPr>
        <sz val="12"/>
        <color theme="1"/>
        <rFont val="標楷體"/>
        <family val="4"/>
        <charset val="136"/>
      </rPr>
      <t>膠原蛋白</t>
    </r>
    <phoneticPr fontId="1" type="noConversion"/>
  </si>
  <si>
    <r>
      <rPr>
        <sz val="12"/>
        <color theme="1"/>
        <rFont val="標楷體"/>
        <family val="4"/>
        <charset val="136"/>
      </rPr>
      <t>張弟</t>
    </r>
    <phoneticPr fontId="1" type="noConversion"/>
  </si>
  <si>
    <r>
      <rPr>
        <sz val="12"/>
        <color theme="1"/>
        <rFont val="標楷體"/>
        <family val="4"/>
        <charset val="136"/>
      </rPr>
      <t>凝露</t>
    </r>
    <phoneticPr fontId="1" type="noConversion"/>
  </si>
  <si>
    <r>
      <rPr>
        <sz val="12"/>
        <color theme="1"/>
        <rFont val="標楷體"/>
        <family val="4"/>
        <charset val="136"/>
      </rPr>
      <t>李姐</t>
    </r>
    <phoneticPr fontId="1" type="noConversion"/>
  </si>
  <si>
    <r>
      <rPr>
        <sz val="12"/>
        <color theme="1"/>
        <rFont val="標楷體"/>
        <family val="4"/>
        <charset val="136"/>
      </rPr>
      <t>精華</t>
    </r>
    <phoneticPr fontId="1" type="noConversion"/>
  </si>
  <si>
    <r>
      <rPr>
        <b/>
        <sz val="12"/>
        <color theme="1"/>
        <rFont val="標楷體"/>
        <family val="4"/>
        <charset val="136"/>
      </rPr>
      <t>療程種類</t>
    </r>
    <phoneticPr fontId="1" type="noConversion"/>
  </si>
  <si>
    <r>
      <rPr>
        <b/>
        <sz val="12"/>
        <color theme="1"/>
        <rFont val="標楷體"/>
        <family val="4"/>
        <charset val="136"/>
      </rPr>
      <t>針劑</t>
    </r>
    <phoneticPr fontId="1" type="noConversion"/>
  </si>
  <si>
    <r>
      <rPr>
        <b/>
        <sz val="12"/>
        <color theme="1"/>
        <rFont val="標楷體"/>
        <family val="4"/>
        <charset val="136"/>
      </rPr>
      <t>藥材供應商</t>
    </r>
    <phoneticPr fontId="1" type="noConversion"/>
  </si>
  <si>
    <r>
      <rPr>
        <b/>
        <sz val="12"/>
        <color theme="1"/>
        <rFont val="標楷體"/>
        <family val="4"/>
        <charset val="136"/>
      </rPr>
      <t>藥材品項</t>
    </r>
    <phoneticPr fontId="1" type="noConversion"/>
  </si>
  <si>
    <r>
      <rPr>
        <b/>
        <sz val="12"/>
        <color theme="1"/>
        <rFont val="標楷體"/>
        <family val="4"/>
        <charset val="136"/>
      </rPr>
      <t>儀器供應商</t>
    </r>
    <phoneticPr fontId="1" type="noConversion"/>
  </si>
  <si>
    <t>種類</t>
    <phoneticPr fontId="1" type="noConversion"/>
  </si>
  <si>
    <t>訂單收入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</si>
</sst>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&quot;$&quot;#,##0_);[Red]\(&quot;$&quot;#,##0\)"/>
  </numFmts>
  <fonts count="9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b/>
      <sz val="12"/>
      <color theme="1"/>
      <name val="標楷體"/>
      <family val="4"/>
      <charset val="136"/>
    </font>
    <font>
      <sz val="12"/>
      <color theme="1"/>
      <name val="標楷體"/>
      <family val="4"/>
      <charset val="136"/>
    </font>
    <font>
      <b/>
      <sz val="12"/>
      <color theme="1"/>
      <name val="Tahoma"/>
      <family val="2"/>
    </font>
    <font>
      <sz val="12"/>
      <color theme="1"/>
      <name val="Tahoma"/>
      <family val="2"/>
    </font>
    <font>
      <sz val="14"/>
      <color theme="1"/>
      <name val="Tahoma"/>
      <family val="2"/>
    </font>
    <font>
      <sz val="14"/>
      <color theme="1"/>
      <name val="標楷體"/>
      <family val="4"/>
      <charset val="136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2060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>
      <alignment vertical="center"/>
    </xf>
    <xf numFmtId="9" fontId="2" fillId="0" borderId="0" applyFont="0" applyFill="0" applyBorder="0" applyAlignment="0" applyProtection="0">
      <alignment vertical="center"/>
    </xf>
  </cellStyleXfs>
  <cellXfs count="74">
    <xf numFmtId="0" fontId="0" fillId="0" borderId="0" xfId="0">
      <alignment vertical="center"/>
    </xf>
    <xf numFmtId="0" fontId="6" fillId="0" borderId="0" xfId="0" applyFont="1" applyAlignment="1">
      <alignment horizontal="center" vertical="center"/>
    </xf>
    <xf numFmtId="176" fontId="6" fillId="0" borderId="0" xfId="0" applyNumberFormat="1" applyFont="1">
      <alignment vertical="center"/>
    </xf>
    <xf numFmtId="9" fontId="6" fillId="0" borderId="0" xfId="1" applyFont="1">
      <alignment vertical="center"/>
    </xf>
    <xf numFmtId="0" fontId="6" fillId="2" borderId="0" xfId="0" applyFont="1" applyFill="1">
      <alignment vertical="center"/>
    </xf>
    <xf numFmtId="0" fontId="6" fillId="0" borderId="0" xfId="0" applyFont="1">
      <alignment vertical="center"/>
    </xf>
    <xf numFmtId="9" fontId="6" fillId="0" borderId="0" xfId="1" applyFont="1" applyBorder="1">
      <alignment vertical="center"/>
    </xf>
    <xf numFmtId="0" fontId="6" fillId="0" borderId="1" xfId="0" applyFont="1" applyBorder="1">
      <alignment vertical="center"/>
    </xf>
    <xf numFmtId="0" fontId="6" fillId="0" borderId="1" xfId="0" applyFont="1" applyBorder="1" applyAlignment="1">
      <alignment horizontal="center" vertical="center"/>
    </xf>
    <xf numFmtId="176" fontId="6" fillId="0" borderId="1" xfId="0" applyNumberFormat="1" applyFont="1" applyBorder="1">
      <alignment vertical="center"/>
    </xf>
    <xf numFmtId="9" fontId="6" fillId="0" borderId="1" xfId="1" applyFont="1" applyBorder="1">
      <alignment vertical="center"/>
    </xf>
    <xf numFmtId="176" fontId="6" fillId="2" borderId="1" xfId="0" applyNumberFormat="1" applyFont="1" applyFill="1" applyBorder="1">
      <alignment vertical="center"/>
    </xf>
    <xf numFmtId="0" fontId="5" fillId="0" borderId="2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176" fontId="5" fillId="0" borderId="3" xfId="0" applyNumberFormat="1" applyFont="1" applyBorder="1" applyAlignment="1">
      <alignment horizontal="center" vertical="center"/>
    </xf>
    <xf numFmtId="9" fontId="5" fillId="0" borderId="3" xfId="1" applyFont="1" applyBorder="1" applyAlignment="1">
      <alignment horizontal="center" vertical="center"/>
    </xf>
    <xf numFmtId="0" fontId="5" fillId="2" borderId="3" xfId="0" applyFont="1" applyFill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14" fontId="6" fillId="0" borderId="6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176" fontId="6" fillId="0" borderId="6" xfId="0" applyNumberFormat="1" applyFont="1" applyBorder="1">
      <alignment vertical="center"/>
    </xf>
    <xf numFmtId="9" fontId="6" fillId="0" borderId="6" xfId="1" applyFont="1" applyBorder="1">
      <alignment vertical="center"/>
    </xf>
    <xf numFmtId="0" fontId="6" fillId="2" borderId="6" xfId="0" applyFont="1" applyFill="1" applyBorder="1">
      <alignment vertical="center"/>
    </xf>
    <xf numFmtId="9" fontId="6" fillId="0" borderId="6" xfId="0" applyNumberFormat="1" applyFont="1" applyBorder="1">
      <alignment vertical="center"/>
    </xf>
    <xf numFmtId="0" fontId="6" fillId="0" borderId="6" xfId="0" applyFont="1" applyBorder="1">
      <alignment vertical="center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9" xfId="0" applyFont="1" applyBorder="1">
      <alignment vertical="center"/>
    </xf>
    <xf numFmtId="0" fontId="6" fillId="0" borderId="10" xfId="0" applyFont="1" applyBorder="1">
      <alignment vertical="center"/>
    </xf>
    <xf numFmtId="176" fontId="6" fillId="0" borderId="11" xfId="0" applyNumberFormat="1" applyFont="1" applyBorder="1">
      <alignment vertical="center"/>
    </xf>
    <xf numFmtId="0" fontId="3" fillId="0" borderId="3" xfId="0" applyFont="1" applyBorder="1" applyAlignment="1">
      <alignment horizontal="center" vertical="center"/>
    </xf>
    <xf numFmtId="176" fontId="3" fillId="0" borderId="3" xfId="0" applyNumberFormat="1" applyFont="1" applyBorder="1" applyAlignment="1">
      <alignment horizontal="center" vertical="center"/>
    </xf>
    <xf numFmtId="9" fontId="6" fillId="0" borderId="1" xfId="0" applyNumberFormat="1" applyFont="1" applyBorder="1">
      <alignment vertical="center"/>
    </xf>
    <xf numFmtId="9" fontId="6" fillId="0" borderId="0" xfId="0" applyNumberFormat="1" applyFont="1">
      <alignment vertical="center"/>
    </xf>
    <xf numFmtId="14" fontId="6" fillId="0" borderId="0" xfId="0" applyNumberFormat="1" applyFont="1" applyAlignment="1">
      <alignment horizontal="center" vertical="center"/>
    </xf>
    <xf numFmtId="0" fontId="6" fillId="2" borderId="1" xfId="0" applyFont="1" applyFill="1" applyBorder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176" fontId="7" fillId="0" borderId="0" xfId="0" applyNumberFormat="1" applyFont="1">
      <alignment vertical="center"/>
    </xf>
    <xf numFmtId="9" fontId="7" fillId="0" borderId="0" xfId="1" applyFont="1">
      <alignment vertical="center"/>
    </xf>
    <xf numFmtId="176" fontId="7" fillId="3" borderId="0" xfId="0" applyNumberFormat="1" applyFont="1" applyFill="1">
      <alignment vertical="center"/>
    </xf>
    <xf numFmtId="0" fontId="7" fillId="2" borderId="0" xfId="0" applyFont="1" applyFill="1">
      <alignment vertical="center"/>
    </xf>
    <xf numFmtId="176" fontId="6" fillId="0" borderId="0" xfId="0" applyNumberFormat="1" applyFont="1" applyAlignment="1">
      <alignment horizontal="right" vertical="center"/>
    </xf>
    <xf numFmtId="0" fontId="6" fillId="4" borderId="0" xfId="0" applyFont="1" applyFill="1" applyAlignment="1">
      <alignment horizontal="center" vertical="center"/>
    </xf>
    <xf numFmtId="176" fontId="6" fillId="3" borderId="0" xfId="0" applyNumberFormat="1" applyFont="1" applyFill="1" applyAlignment="1">
      <alignment horizontal="right" vertical="center"/>
    </xf>
    <xf numFmtId="0" fontId="5" fillId="4" borderId="3" xfId="0" applyFont="1" applyFill="1" applyBorder="1" applyAlignment="1">
      <alignment horizontal="center" vertical="center"/>
    </xf>
    <xf numFmtId="176" fontId="6" fillId="0" borderId="6" xfId="0" applyNumberFormat="1" applyFont="1" applyBorder="1" applyAlignment="1">
      <alignment horizontal="right" vertical="center"/>
    </xf>
    <xf numFmtId="0" fontId="6" fillId="4" borderId="6" xfId="0" applyFont="1" applyFill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176" fontId="6" fillId="0" borderId="1" xfId="0" applyNumberFormat="1" applyFont="1" applyBorder="1" applyAlignment="1">
      <alignment horizontal="right" vertical="center"/>
    </xf>
    <xf numFmtId="0" fontId="6" fillId="4" borderId="1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76" fontId="5" fillId="0" borderId="4" xfId="0" applyNumberFormat="1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176" fontId="6" fillId="0" borderId="3" xfId="0" applyNumberFormat="1" applyFont="1" applyBorder="1" applyAlignment="1">
      <alignment horizontal="right" vertical="center"/>
    </xf>
    <xf numFmtId="176" fontId="6" fillId="0" borderId="3" xfId="0" applyNumberFormat="1" applyFont="1" applyBorder="1">
      <alignment vertical="center"/>
    </xf>
    <xf numFmtId="176" fontId="6" fillId="0" borderId="4" xfId="0" applyNumberFormat="1" applyFont="1" applyBorder="1">
      <alignment vertical="center"/>
    </xf>
    <xf numFmtId="176" fontId="6" fillId="0" borderId="7" xfId="0" applyNumberFormat="1" applyFont="1" applyBorder="1">
      <alignment vertical="center"/>
    </xf>
    <xf numFmtId="176" fontId="6" fillId="0" borderId="9" xfId="0" applyNumberFormat="1" applyFont="1" applyBorder="1">
      <alignment vertical="center"/>
    </xf>
    <xf numFmtId="14" fontId="6" fillId="0" borderId="3" xfId="0" applyNumberFormat="1" applyFont="1" applyBorder="1" applyAlignment="1">
      <alignment horizontal="center" vertical="center"/>
    </xf>
    <xf numFmtId="14" fontId="6" fillId="0" borderId="1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8" fillId="0" borderId="0" xfId="0" applyFo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1" xfId="0" applyFont="1" applyBorder="1">
      <alignment vertical="center"/>
    </xf>
    <xf numFmtId="0" fontId="4" fillId="0" borderId="6" xfId="0" applyFont="1" applyBorder="1">
      <alignment vertical="center"/>
    </xf>
    <xf numFmtId="0" fontId="4" fillId="0" borderId="0" xfId="0" applyFont="1" applyAlignment="1">
      <alignment horizontal="center" vertical="center"/>
    </xf>
  </cellXfs>
  <cellStyles count="2">
    <cellStyle name="一般" xfId="0" builtinId="0"/>
    <cellStyle name="百分比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B61F9-8EF4-4479-87F0-9D7A22244B6C}">
  <dimension ref="A1:V26"/>
  <sheetViews>
    <sheetView zoomScale="85" zoomScaleNormal="85" workbookViewId="0">
      <pane ySplit="2" topLeftCell="A3" activePane="bottomLeft" state="frozen"/>
      <selection pane="bottomLeft" activeCell="H2" sqref="H2"/>
    </sheetView>
  </sheetViews>
  <sheetFormatPr defaultRowHeight="16.2" x14ac:dyDescent="0.3"/>
  <cols>
    <col min="1" max="1" width="13.21875" style="5" customWidth="1"/>
    <col min="2" max="2" width="11.88671875" style="1" customWidth="1"/>
    <col min="3" max="3" width="7.88671875" style="5" customWidth="1"/>
    <col min="4" max="4" width="16" style="1" customWidth="1"/>
    <col min="5" max="5" width="12.109375" style="5" customWidth="1"/>
    <col min="6" max="6" width="10.6640625" style="5" customWidth="1"/>
    <col min="7" max="7" width="9" style="5" customWidth="1"/>
    <col min="8" max="8" width="10.5546875" style="67" customWidth="1"/>
    <col min="9" max="9" width="12.21875" style="2" customWidth="1"/>
    <col min="10" max="10" width="10.44140625" style="3" customWidth="1"/>
    <col min="11" max="11" width="13.33203125" style="5" customWidth="1"/>
    <col min="12" max="12" width="13.21875" style="5" customWidth="1"/>
    <col min="13" max="13" width="13.33203125" style="5" customWidth="1"/>
    <col min="14" max="14" width="0.5546875" style="4" customWidth="1"/>
    <col min="15" max="15" width="14.6640625" style="5" customWidth="1"/>
    <col min="16" max="16" width="10.44140625" style="5" customWidth="1"/>
    <col min="17" max="17" width="10.21875" style="5" customWidth="1"/>
    <col min="18" max="18" width="10.33203125" style="5" bestFit="1" customWidth="1"/>
    <col min="19" max="19" width="9.77734375" style="1" customWidth="1"/>
    <col min="20" max="20" width="11.6640625" style="2" customWidth="1"/>
    <col min="21" max="21" width="12" style="2" customWidth="1"/>
    <col min="22" max="22" width="12.77734375" style="5" customWidth="1"/>
    <col min="23" max="16384" width="8.88671875" style="5"/>
  </cols>
  <sheetData>
    <row r="1" spans="1:22" s="37" customFormat="1" ht="28.8" customHeight="1" thickBot="1" x14ac:dyDescent="0.35">
      <c r="B1" s="38"/>
      <c r="D1" s="38"/>
      <c r="H1" s="69"/>
      <c r="I1" s="39"/>
      <c r="J1" s="40"/>
      <c r="M1" s="41">
        <f>SUM(M2:M700)</f>
        <v>129000</v>
      </c>
      <c r="N1" s="42"/>
      <c r="O1" s="41">
        <f>SUM(O2:O700)</f>
        <v>24500</v>
      </c>
      <c r="S1" s="38"/>
      <c r="T1" s="39"/>
      <c r="U1" s="41">
        <f>SUM(U2:U700)</f>
        <v>25500</v>
      </c>
      <c r="V1" s="41">
        <f>SUM(V2:V700)</f>
        <v>79000</v>
      </c>
    </row>
    <row r="2" spans="1:22" s="1" customFormat="1" ht="16.8" thickBot="1" x14ac:dyDescent="0.35">
      <c r="A2" s="66" t="s">
        <v>90</v>
      </c>
      <c r="B2" s="31" t="s">
        <v>91</v>
      </c>
      <c r="C2" s="31" t="s">
        <v>0</v>
      </c>
      <c r="D2" s="31" t="s">
        <v>92</v>
      </c>
      <c r="E2" s="31" t="s">
        <v>89</v>
      </c>
      <c r="F2" s="31" t="s">
        <v>88</v>
      </c>
      <c r="G2" s="31" t="s">
        <v>128</v>
      </c>
      <c r="H2" s="31" t="s">
        <v>93</v>
      </c>
      <c r="I2" s="14" t="s">
        <v>8</v>
      </c>
      <c r="J2" s="15" t="s">
        <v>9</v>
      </c>
      <c r="K2" s="13" t="s">
        <v>10</v>
      </c>
      <c r="L2" s="13" t="s">
        <v>11</v>
      </c>
      <c r="M2" s="31" t="s">
        <v>129</v>
      </c>
      <c r="N2" s="16"/>
      <c r="O2" s="13" t="s">
        <v>12</v>
      </c>
      <c r="P2" s="31" t="s">
        <v>26</v>
      </c>
      <c r="Q2" s="13" t="s">
        <v>13</v>
      </c>
      <c r="R2" s="13" t="s">
        <v>14</v>
      </c>
      <c r="S2" s="13" t="s">
        <v>15</v>
      </c>
      <c r="T2" s="14" t="s">
        <v>16</v>
      </c>
      <c r="U2" s="32" t="s">
        <v>25</v>
      </c>
      <c r="V2" s="17" t="s">
        <v>17</v>
      </c>
    </row>
    <row r="3" spans="1:22" x14ac:dyDescent="0.3">
      <c r="A3" s="18" t="s">
        <v>3</v>
      </c>
      <c r="B3" s="19">
        <v>46054</v>
      </c>
      <c r="C3" s="20" t="s">
        <v>18</v>
      </c>
      <c r="D3" s="19" t="s">
        <v>2</v>
      </c>
      <c r="E3" s="20" t="s">
        <v>19</v>
      </c>
      <c r="F3" s="1" t="s">
        <v>20</v>
      </c>
      <c r="G3" s="20" t="s">
        <v>1</v>
      </c>
      <c r="H3" s="70" t="s">
        <v>94</v>
      </c>
      <c r="I3" s="21">
        <v>15000</v>
      </c>
      <c r="J3" s="22">
        <v>0</v>
      </c>
      <c r="K3" s="21">
        <f>I3*J3</f>
        <v>0</v>
      </c>
      <c r="L3" s="21">
        <f>I3-K3</f>
        <v>15000</v>
      </c>
      <c r="M3" s="21"/>
      <c r="N3" s="23"/>
      <c r="O3" s="21">
        <v>3500</v>
      </c>
      <c r="P3" s="21"/>
      <c r="Q3" s="21">
        <f>L3-O3</f>
        <v>11500</v>
      </c>
      <c r="R3" s="24">
        <f>(L3-O3)/O3</f>
        <v>3.2857142857142856</v>
      </c>
      <c r="S3" s="20"/>
      <c r="T3" s="21"/>
      <c r="U3" s="21"/>
      <c r="V3" s="26"/>
    </row>
    <row r="4" spans="1:22" x14ac:dyDescent="0.3">
      <c r="A4" s="27"/>
      <c r="C4" s="1" t="s">
        <v>21</v>
      </c>
      <c r="D4" s="35" t="s">
        <v>4</v>
      </c>
      <c r="E4" s="1" t="s">
        <v>19</v>
      </c>
      <c r="F4" s="1" t="s">
        <v>20</v>
      </c>
      <c r="I4" s="2">
        <v>13000</v>
      </c>
      <c r="J4" s="6">
        <v>0</v>
      </c>
      <c r="K4" s="2">
        <f t="shared" ref="K4:K5" si="0">I4*J4</f>
        <v>0</v>
      </c>
      <c r="L4" s="2">
        <f>I4-K4</f>
        <v>13000</v>
      </c>
      <c r="M4" s="2"/>
      <c r="O4" s="2">
        <v>0</v>
      </c>
      <c r="P4" s="2"/>
      <c r="Q4" s="2">
        <f>L4-O4</f>
        <v>13000</v>
      </c>
      <c r="R4" s="34" t="str">
        <f>IFERROR("",((L4-O4)/O4))</f>
        <v/>
      </c>
      <c r="V4" s="28"/>
    </row>
    <row r="5" spans="1:22" x14ac:dyDescent="0.3">
      <c r="A5" s="27"/>
      <c r="C5" s="1" t="s">
        <v>22</v>
      </c>
      <c r="D5" s="35" t="s">
        <v>5</v>
      </c>
      <c r="E5" s="1" t="s">
        <v>19</v>
      </c>
      <c r="F5" s="1" t="s">
        <v>20</v>
      </c>
      <c r="I5" s="2">
        <v>6000</v>
      </c>
      <c r="J5" s="6">
        <v>0</v>
      </c>
      <c r="K5" s="2">
        <f t="shared" si="0"/>
        <v>0</v>
      </c>
      <c r="L5" s="2">
        <f>I5-K5</f>
        <v>6000</v>
      </c>
      <c r="M5" s="2"/>
      <c r="O5" s="2">
        <v>0</v>
      </c>
      <c r="P5" s="2"/>
      <c r="Q5" s="2">
        <f>L5-O5</f>
        <v>6000</v>
      </c>
      <c r="R5" s="34" t="str">
        <f>IFERROR("",((L5-O5)/O5))</f>
        <v/>
      </c>
      <c r="V5" s="28"/>
    </row>
    <row r="6" spans="1:22" x14ac:dyDescent="0.3">
      <c r="A6" s="27"/>
      <c r="J6" s="6"/>
      <c r="S6" s="1" t="s">
        <v>23</v>
      </c>
      <c r="T6" s="2">
        <v>3000</v>
      </c>
      <c r="V6" s="28"/>
    </row>
    <row r="7" spans="1:22" x14ac:dyDescent="0.3">
      <c r="A7" s="27"/>
      <c r="J7" s="6"/>
      <c r="S7" s="1" t="s">
        <v>24</v>
      </c>
      <c r="T7" s="2">
        <v>2000</v>
      </c>
      <c r="V7" s="28"/>
    </row>
    <row r="8" spans="1:22" ht="16.8" thickBot="1" x14ac:dyDescent="0.35">
      <c r="A8" s="29"/>
      <c r="B8" s="8"/>
      <c r="C8" s="7"/>
      <c r="D8" s="8"/>
      <c r="E8" s="7"/>
      <c r="F8" s="7"/>
      <c r="G8" s="7"/>
      <c r="H8" s="71"/>
      <c r="I8" s="9"/>
      <c r="J8" s="10"/>
      <c r="K8" s="7"/>
      <c r="L8" s="9"/>
      <c r="M8" s="9">
        <f>SUM(L3:L7)</f>
        <v>34000</v>
      </c>
      <c r="N8" s="11">
        <f t="shared" ref="N8:Q8" si="1">SUM(N3:N7)</f>
        <v>0</v>
      </c>
      <c r="O8" s="9"/>
      <c r="P8" s="9">
        <f>SUM(O3:O7)</f>
        <v>3500</v>
      </c>
      <c r="Q8" s="9">
        <f t="shared" si="1"/>
        <v>30500</v>
      </c>
      <c r="R8" s="33">
        <f>AVERAGE(R3:R7)</f>
        <v>3.2857142857142856</v>
      </c>
      <c r="S8" s="8"/>
      <c r="T8" s="9"/>
      <c r="U8" s="9">
        <f>SUM(T3:T7)</f>
        <v>5000</v>
      </c>
      <c r="V8" s="30">
        <f>M8-P8-U8</f>
        <v>25500</v>
      </c>
    </row>
    <row r="9" spans="1:22" x14ac:dyDescent="0.3">
      <c r="A9" s="18" t="s">
        <v>27</v>
      </c>
      <c r="B9" s="19">
        <v>46055</v>
      </c>
      <c r="C9" s="20" t="s">
        <v>28</v>
      </c>
      <c r="D9" s="19" t="s">
        <v>32</v>
      </c>
      <c r="E9" s="20" t="s">
        <v>29</v>
      </c>
      <c r="F9" s="20" t="s">
        <v>30</v>
      </c>
      <c r="G9" s="25"/>
      <c r="H9" s="72"/>
      <c r="I9" s="21">
        <v>3000</v>
      </c>
      <c r="J9" s="22">
        <v>0</v>
      </c>
      <c r="K9" s="21">
        <f>I9*J9</f>
        <v>0</v>
      </c>
      <c r="L9" s="21">
        <f>I9-K9</f>
        <v>3000</v>
      </c>
      <c r="M9" s="25"/>
      <c r="N9" s="23"/>
      <c r="O9" s="25"/>
      <c r="P9" s="25"/>
      <c r="Q9" s="25"/>
      <c r="R9" s="25"/>
      <c r="S9" s="20" t="s">
        <v>24</v>
      </c>
      <c r="T9" s="21">
        <v>500</v>
      </c>
      <c r="U9" s="21"/>
      <c r="V9" s="26"/>
    </row>
    <row r="10" spans="1:22" ht="16.8" thickBot="1" x14ac:dyDescent="0.35">
      <c r="A10" s="29"/>
      <c r="B10" s="8"/>
      <c r="C10" s="7"/>
      <c r="D10" s="8"/>
      <c r="E10" s="7"/>
      <c r="F10" s="7"/>
      <c r="G10" s="7"/>
      <c r="H10" s="71"/>
      <c r="I10" s="9"/>
      <c r="J10" s="10"/>
      <c r="K10" s="7"/>
      <c r="L10" s="7"/>
      <c r="M10" s="9">
        <f>SUM(L9:L9)</f>
        <v>3000</v>
      </c>
      <c r="N10" s="36"/>
      <c r="O10" s="7"/>
      <c r="P10" s="7"/>
      <c r="Q10" s="7"/>
      <c r="R10" s="7"/>
      <c r="S10" s="8"/>
      <c r="T10" s="9"/>
      <c r="U10" s="9">
        <f>SUM(T9:T9)</f>
        <v>500</v>
      </c>
      <c r="V10" s="30">
        <f>M10-P10-U10</f>
        <v>2500</v>
      </c>
    </row>
    <row r="11" spans="1:22" x14ac:dyDescent="0.3">
      <c r="A11" s="18" t="s">
        <v>31</v>
      </c>
      <c r="B11" s="19">
        <v>46058</v>
      </c>
      <c r="C11" s="20" t="s">
        <v>28</v>
      </c>
      <c r="D11" s="19" t="s">
        <v>33</v>
      </c>
      <c r="E11" s="20" t="s">
        <v>19</v>
      </c>
      <c r="F11" s="20" t="s">
        <v>20</v>
      </c>
      <c r="G11" s="20" t="s">
        <v>1</v>
      </c>
      <c r="H11" s="70" t="s">
        <v>94</v>
      </c>
      <c r="I11" s="21">
        <v>15000</v>
      </c>
      <c r="J11" s="22">
        <v>0</v>
      </c>
      <c r="K11" s="21">
        <f>I11*J11</f>
        <v>0</v>
      </c>
      <c r="L11" s="21">
        <f>I11-K11</f>
        <v>15000</v>
      </c>
      <c r="M11" s="21"/>
      <c r="N11" s="23"/>
      <c r="O11" s="21">
        <v>3500</v>
      </c>
      <c r="P11" s="21"/>
      <c r="Q11" s="21">
        <f>L11-O11</f>
        <v>11500</v>
      </c>
      <c r="R11" s="24">
        <f>(L11-O11)/O11</f>
        <v>3.2857142857142856</v>
      </c>
      <c r="S11" s="20"/>
      <c r="T11" s="21"/>
      <c r="U11" s="21"/>
      <c r="V11" s="26"/>
    </row>
    <row r="12" spans="1:22" x14ac:dyDescent="0.3">
      <c r="A12" s="27"/>
      <c r="D12" s="35" t="s">
        <v>34</v>
      </c>
      <c r="E12" s="1" t="s">
        <v>29</v>
      </c>
      <c r="F12" s="1" t="s">
        <v>30</v>
      </c>
      <c r="I12" s="2">
        <v>2000</v>
      </c>
      <c r="J12" s="6">
        <v>0</v>
      </c>
      <c r="K12" s="2">
        <f>I12*J12</f>
        <v>0</v>
      </c>
      <c r="L12" s="2">
        <f>I12-K12</f>
        <v>2000</v>
      </c>
      <c r="S12" s="1" t="s">
        <v>23</v>
      </c>
      <c r="T12" s="2">
        <v>3000</v>
      </c>
      <c r="V12" s="28"/>
    </row>
    <row r="13" spans="1:22" x14ac:dyDescent="0.3">
      <c r="A13" s="27"/>
      <c r="J13" s="6"/>
      <c r="S13" s="1" t="s">
        <v>24</v>
      </c>
      <c r="T13" s="2">
        <v>1000</v>
      </c>
      <c r="V13" s="28"/>
    </row>
    <row r="14" spans="1:22" ht="16.8" thickBot="1" x14ac:dyDescent="0.35">
      <c r="A14" s="29"/>
      <c r="B14" s="8"/>
      <c r="C14" s="7"/>
      <c r="D14" s="8"/>
      <c r="E14" s="7"/>
      <c r="F14" s="7"/>
      <c r="G14" s="7"/>
      <c r="H14" s="71"/>
      <c r="I14" s="9"/>
      <c r="J14" s="10"/>
      <c r="K14" s="7"/>
      <c r="L14" s="7"/>
      <c r="M14" s="9">
        <f>SUM(L11:L12)</f>
        <v>17000</v>
      </c>
      <c r="N14" s="36"/>
      <c r="O14" s="7"/>
      <c r="P14" s="9">
        <f>SUM(O11:O12)</f>
        <v>3500</v>
      </c>
      <c r="Q14" s="9">
        <f>SUM(Q11:Q13)</f>
        <v>11500</v>
      </c>
      <c r="R14" s="33">
        <f>AVERAGE(R11:R13)</f>
        <v>3.2857142857142856</v>
      </c>
      <c r="S14" s="8"/>
      <c r="T14" s="9"/>
      <c r="U14" s="9">
        <f>SUM(T11:T13)</f>
        <v>4000</v>
      </c>
      <c r="V14" s="30">
        <f>M14-P14-U14</f>
        <v>9500</v>
      </c>
    </row>
    <row r="15" spans="1:22" x14ac:dyDescent="0.3">
      <c r="A15" s="18" t="s">
        <v>35</v>
      </c>
      <c r="B15" s="19">
        <v>46062</v>
      </c>
      <c r="C15" s="20" t="s">
        <v>28</v>
      </c>
      <c r="D15" s="19" t="s">
        <v>36</v>
      </c>
      <c r="E15" s="20" t="s">
        <v>19</v>
      </c>
      <c r="F15" s="20" t="s">
        <v>20</v>
      </c>
      <c r="G15" s="20" t="s">
        <v>1</v>
      </c>
      <c r="H15" s="70" t="s">
        <v>94</v>
      </c>
      <c r="I15" s="21">
        <v>15000</v>
      </c>
      <c r="J15" s="22">
        <v>0</v>
      </c>
      <c r="K15" s="21">
        <f>I15*J15</f>
        <v>0</v>
      </c>
      <c r="L15" s="21">
        <f>I15-K15</f>
        <v>15000</v>
      </c>
      <c r="M15" s="21"/>
      <c r="N15" s="23"/>
      <c r="O15" s="21">
        <v>3500</v>
      </c>
      <c r="P15" s="21"/>
      <c r="Q15" s="21">
        <f>L15-O15</f>
        <v>11500</v>
      </c>
      <c r="R15" s="24">
        <f>(L15-O15)/O15</f>
        <v>3.2857142857142856</v>
      </c>
      <c r="S15" s="20"/>
      <c r="T15" s="21"/>
      <c r="U15" s="21"/>
      <c r="V15" s="26"/>
    </row>
    <row r="16" spans="1:22" x14ac:dyDescent="0.3">
      <c r="A16" s="27"/>
      <c r="D16" s="35" t="s">
        <v>37</v>
      </c>
      <c r="E16" s="1" t="s">
        <v>29</v>
      </c>
      <c r="F16" s="1" t="s">
        <v>30</v>
      </c>
      <c r="I16" s="2">
        <v>2000</v>
      </c>
      <c r="J16" s="6">
        <v>0</v>
      </c>
      <c r="K16" s="2">
        <f>I16*J16</f>
        <v>0</v>
      </c>
      <c r="L16" s="2">
        <f>I16-K16</f>
        <v>2000</v>
      </c>
      <c r="S16" s="1" t="s">
        <v>23</v>
      </c>
      <c r="T16" s="2">
        <v>3000</v>
      </c>
      <c r="V16" s="28"/>
    </row>
    <row r="17" spans="1:22" x14ac:dyDescent="0.3">
      <c r="A17" s="27"/>
      <c r="J17" s="6"/>
      <c r="S17" s="1" t="s">
        <v>24</v>
      </c>
      <c r="T17" s="2">
        <v>1000</v>
      </c>
      <c r="V17" s="28"/>
    </row>
    <row r="18" spans="1:22" ht="16.8" thickBot="1" x14ac:dyDescent="0.35">
      <c r="A18" s="29"/>
      <c r="B18" s="8"/>
      <c r="C18" s="7"/>
      <c r="D18" s="8"/>
      <c r="E18" s="7"/>
      <c r="F18" s="7"/>
      <c r="G18" s="7"/>
      <c r="H18" s="71"/>
      <c r="I18" s="9"/>
      <c r="J18" s="10"/>
      <c r="K18" s="7"/>
      <c r="L18" s="7"/>
      <c r="M18" s="9">
        <f>SUM(L15:L16)</f>
        <v>17000</v>
      </c>
      <c r="N18" s="36"/>
      <c r="O18" s="7"/>
      <c r="P18" s="9">
        <f>SUM(O15:O16)</f>
        <v>3500</v>
      </c>
      <c r="Q18" s="9">
        <f>SUM(Q15:Q17)</f>
        <v>11500</v>
      </c>
      <c r="R18" s="33">
        <f>AVERAGE(R15:R17)</f>
        <v>3.2857142857142856</v>
      </c>
      <c r="S18" s="8"/>
      <c r="T18" s="9"/>
      <c r="U18" s="9">
        <f>SUM(T15:T17)</f>
        <v>4000</v>
      </c>
      <c r="V18" s="30">
        <f>M18-P18-U18</f>
        <v>9500</v>
      </c>
    </row>
    <row r="19" spans="1:22" x14ac:dyDescent="0.3">
      <c r="A19" s="18" t="s">
        <v>38</v>
      </c>
      <c r="B19" s="19">
        <v>46065</v>
      </c>
      <c r="C19" s="1" t="s">
        <v>39</v>
      </c>
      <c r="D19" s="35" t="s">
        <v>40</v>
      </c>
      <c r="E19" s="20" t="s">
        <v>19</v>
      </c>
      <c r="F19" s="20" t="s">
        <v>20</v>
      </c>
      <c r="G19" s="20" t="s">
        <v>1</v>
      </c>
      <c r="H19" s="70" t="s">
        <v>94</v>
      </c>
      <c r="I19" s="21">
        <v>15000</v>
      </c>
      <c r="J19" s="22">
        <v>0</v>
      </c>
      <c r="K19" s="21">
        <f>I19*J19</f>
        <v>0</v>
      </c>
      <c r="L19" s="21">
        <f>I19-K19</f>
        <v>15000</v>
      </c>
      <c r="M19" s="21"/>
      <c r="N19" s="23"/>
      <c r="O19" s="21">
        <v>3500</v>
      </c>
      <c r="P19" s="21"/>
      <c r="Q19" s="21">
        <f>L19-O19</f>
        <v>11500</v>
      </c>
      <c r="R19" s="24">
        <f>(L19-O19)/O19</f>
        <v>3.2857142857142856</v>
      </c>
      <c r="S19" s="20"/>
      <c r="T19" s="21"/>
      <c r="U19" s="21"/>
      <c r="V19" s="26"/>
    </row>
    <row r="20" spans="1:22" x14ac:dyDescent="0.3">
      <c r="A20" s="27"/>
      <c r="C20" s="1" t="s">
        <v>41</v>
      </c>
      <c r="D20" s="35" t="s">
        <v>42</v>
      </c>
      <c r="E20" s="1" t="s">
        <v>19</v>
      </c>
      <c r="F20" s="1" t="s">
        <v>20</v>
      </c>
      <c r="G20" s="1" t="s">
        <v>1</v>
      </c>
      <c r="H20" s="73" t="s">
        <v>94</v>
      </c>
      <c r="I20" s="2">
        <v>15000</v>
      </c>
      <c r="J20" s="6">
        <v>0</v>
      </c>
      <c r="K20" s="2">
        <f>I20*J20</f>
        <v>0</v>
      </c>
      <c r="L20" s="2">
        <f>I20-K20</f>
        <v>15000</v>
      </c>
      <c r="M20" s="2"/>
      <c r="O20" s="2">
        <v>3500</v>
      </c>
      <c r="P20" s="2"/>
      <c r="Q20" s="2">
        <f>L20-O20</f>
        <v>11500</v>
      </c>
      <c r="R20" s="34">
        <f>(L20-O20)/O20</f>
        <v>3.2857142857142856</v>
      </c>
      <c r="S20" s="1" t="s">
        <v>23</v>
      </c>
      <c r="T20" s="2">
        <v>3000</v>
      </c>
      <c r="V20" s="28"/>
    </row>
    <row r="21" spans="1:22" x14ac:dyDescent="0.3">
      <c r="A21" s="27"/>
      <c r="J21" s="6"/>
      <c r="S21" s="1" t="s">
        <v>24</v>
      </c>
      <c r="T21" s="2">
        <v>3000</v>
      </c>
      <c r="V21" s="28"/>
    </row>
    <row r="22" spans="1:22" ht="16.8" thickBot="1" x14ac:dyDescent="0.35">
      <c r="A22" s="29"/>
      <c r="B22" s="8"/>
      <c r="C22" s="7"/>
      <c r="D22" s="8"/>
      <c r="E22" s="7"/>
      <c r="F22" s="7"/>
      <c r="G22" s="7"/>
      <c r="H22" s="71"/>
      <c r="I22" s="9"/>
      <c r="J22" s="10"/>
      <c r="K22" s="7"/>
      <c r="L22" s="7"/>
      <c r="M22" s="9">
        <f>SUM(L19:L20)</f>
        <v>30000</v>
      </c>
      <c r="N22" s="36"/>
      <c r="O22" s="7"/>
      <c r="P22" s="9">
        <f>SUM(O19:O20)</f>
        <v>7000</v>
      </c>
      <c r="Q22" s="9">
        <f>SUM(Q19:Q21)</f>
        <v>23000</v>
      </c>
      <c r="R22" s="33">
        <f>AVERAGE(R19:R21)</f>
        <v>3.2857142857142856</v>
      </c>
      <c r="S22" s="8"/>
      <c r="T22" s="9"/>
      <c r="U22" s="9">
        <f>SUM(T19:T21)</f>
        <v>6000</v>
      </c>
      <c r="V22" s="30">
        <f>M22-P22-U22</f>
        <v>17000</v>
      </c>
    </row>
    <row r="23" spans="1:22" x14ac:dyDescent="0.3">
      <c r="A23" s="18" t="s">
        <v>43</v>
      </c>
      <c r="B23" s="19">
        <v>46068</v>
      </c>
      <c r="C23" s="1" t="s">
        <v>44</v>
      </c>
      <c r="D23" s="35" t="s">
        <v>46</v>
      </c>
      <c r="E23" s="20" t="s">
        <v>19</v>
      </c>
      <c r="F23" s="20" t="s">
        <v>20</v>
      </c>
      <c r="G23" s="20" t="s">
        <v>1</v>
      </c>
      <c r="H23" s="70" t="s">
        <v>94</v>
      </c>
      <c r="I23" s="21">
        <v>15000</v>
      </c>
      <c r="J23" s="22">
        <v>0</v>
      </c>
      <c r="K23" s="21">
        <v>1000</v>
      </c>
      <c r="L23" s="21">
        <f>I23-K23</f>
        <v>14000</v>
      </c>
      <c r="M23" s="21"/>
      <c r="N23" s="23"/>
      <c r="O23" s="21">
        <v>3500</v>
      </c>
      <c r="P23" s="21"/>
      <c r="Q23" s="21">
        <f>L23-O23</f>
        <v>10500</v>
      </c>
      <c r="R23" s="24">
        <f>(L23-O23)/O23</f>
        <v>3</v>
      </c>
      <c r="S23" s="20"/>
      <c r="T23" s="21"/>
      <c r="U23" s="21"/>
      <c r="V23" s="26"/>
    </row>
    <row r="24" spans="1:22" x14ac:dyDescent="0.3">
      <c r="A24" s="27"/>
      <c r="C24" s="1" t="s">
        <v>45</v>
      </c>
      <c r="D24" s="35" t="s">
        <v>47</v>
      </c>
      <c r="E24" s="1" t="s">
        <v>19</v>
      </c>
      <c r="F24" s="1" t="s">
        <v>20</v>
      </c>
      <c r="G24" s="1" t="s">
        <v>1</v>
      </c>
      <c r="H24" s="73" t="s">
        <v>94</v>
      </c>
      <c r="I24" s="2">
        <v>15000</v>
      </c>
      <c r="J24" s="6">
        <v>0</v>
      </c>
      <c r="K24" s="2">
        <v>1000</v>
      </c>
      <c r="L24" s="2">
        <f>I24-K24</f>
        <v>14000</v>
      </c>
      <c r="M24" s="2"/>
      <c r="O24" s="2">
        <v>3500</v>
      </c>
      <c r="P24" s="2"/>
      <c r="Q24" s="2">
        <f>L24-O24</f>
        <v>10500</v>
      </c>
      <c r="R24" s="34">
        <f>(L24-O24)/O24</f>
        <v>3</v>
      </c>
      <c r="S24" s="1" t="s">
        <v>23</v>
      </c>
      <c r="T24" s="2">
        <v>3000</v>
      </c>
      <c r="V24" s="28"/>
    </row>
    <row r="25" spans="1:22" x14ac:dyDescent="0.3">
      <c r="A25" s="27"/>
      <c r="J25" s="6"/>
      <c r="S25" s="1" t="s">
        <v>24</v>
      </c>
      <c r="T25" s="2">
        <v>3000</v>
      </c>
      <c r="V25" s="28"/>
    </row>
    <row r="26" spans="1:22" ht="16.8" thickBot="1" x14ac:dyDescent="0.35">
      <c r="A26" s="29"/>
      <c r="B26" s="8"/>
      <c r="C26" s="7"/>
      <c r="D26" s="8"/>
      <c r="E26" s="7"/>
      <c r="F26" s="7"/>
      <c r="G26" s="7"/>
      <c r="H26" s="71"/>
      <c r="I26" s="9"/>
      <c r="J26" s="10"/>
      <c r="K26" s="7"/>
      <c r="L26" s="7"/>
      <c r="M26" s="9">
        <f>SUM(L23:L24)</f>
        <v>28000</v>
      </c>
      <c r="N26" s="36"/>
      <c r="O26" s="7"/>
      <c r="P26" s="9">
        <f>SUM(O23:O24)</f>
        <v>7000</v>
      </c>
      <c r="Q26" s="9">
        <f>SUM(Q23:Q25)</f>
        <v>21000</v>
      </c>
      <c r="R26" s="33">
        <f>AVERAGE(R23:R25)</f>
        <v>3</v>
      </c>
      <c r="S26" s="8"/>
      <c r="T26" s="9"/>
      <c r="U26" s="9">
        <f>SUM(T23:T25)</f>
        <v>6000</v>
      </c>
      <c r="V26" s="30">
        <f>M26-P26-U26</f>
        <v>15000</v>
      </c>
    </row>
  </sheetData>
  <phoneticPr fontId="1" type="noConversion"/>
  <conditionalFormatting sqref="T9">
    <cfRule type="iconSet" priority="1">
      <iconSet iconSet="3Arrows">
        <cfvo type="percent" val="0"/>
        <cfvo type="percent" val="33"/>
        <cfvo type="percent" val="67"/>
      </iconSet>
    </cfRule>
  </conditionalFormatting>
  <pageMargins left="0.7" right="0.7" top="0.75" bottom="0.75" header="0.3" footer="0.3"/>
  <ignoredErrors>
    <ignoredError sqref="P8 Q14" formula="1"/>
  </ignoredError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96BE675B-025C-4171-BE69-A80C85D1CE02}">
          <x14:formula1>
            <xm:f>設定!$A$2:$A$16</xm:f>
          </x14:formula1>
          <xm:sqref>E3:E5 E9 E11:E12 E15:E16 E19:E20 E23:E24</xm:sqref>
        </x14:dataValidation>
        <x14:dataValidation type="list" allowBlank="1" showInputMessage="1" showErrorMessage="1" xr:uid="{CFE2D0F9-DC91-45F6-B436-102C1261AD4E}">
          <x14:formula1>
            <xm:f>設定!$E$2:$E$15</xm:f>
          </x14:formula1>
          <xm:sqref>S6:S7 S9 S12:S13 S16:S17 S20:S21 S24:S25</xm:sqref>
        </x14:dataValidation>
        <x14:dataValidation type="list" allowBlank="1" showInputMessage="1" showErrorMessage="1" xr:uid="{B59BF7A8-4C97-431B-8DEA-B5317B6F2966}">
          <x14:formula1>
            <xm:f>設定!$B$2:$B$13</xm:f>
          </x14:formula1>
          <xm:sqref>F3:F5 F9 F11:F12 F15:F16 F19:F20 F23:F24</xm:sqref>
        </x14:dataValidation>
        <x14:dataValidation type="list" allowBlank="1" showInputMessage="1" showErrorMessage="1" xr:uid="{322FB3C0-2C28-4E2F-8646-018999EE9CD5}">
          <x14:formula1>
            <xm:f>設定!$D$2:$D$18</xm:f>
          </x14:formula1>
          <xm:sqref>C3:C5 C23:C24 C19:C20 C15 C11 C9</xm:sqref>
        </x14:dataValidation>
        <x14:dataValidation type="list" allowBlank="1" showInputMessage="1" showErrorMessage="1" xr:uid="{1AD56BB6-CCFF-4EAF-92B9-F4F000A3477E}">
          <x14:formula1>
            <xm:f>設定!$H$2:$H$24</xm:f>
          </x14:formula1>
          <xm:sqref>H3 H11 H15 H19:H20 H23:H24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64E09-69DD-43BB-BFC4-592CF2EED7D5}">
  <dimension ref="A1:I12"/>
  <sheetViews>
    <sheetView workbookViewId="0">
      <selection activeCell="F20" sqref="F20"/>
    </sheetView>
  </sheetViews>
  <sheetFormatPr defaultRowHeight="15" x14ac:dyDescent="0.3"/>
  <cols>
    <col min="1" max="1" width="15.44140625" style="1" customWidth="1"/>
    <col min="2" max="2" width="12.44140625" style="1" customWidth="1"/>
    <col min="3" max="4" width="12" style="5" customWidth="1"/>
    <col min="5" max="5" width="16" style="5" customWidth="1"/>
    <col min="6" max="6" width="12.5546875" style="2" bestFit="1" customWidth="1"/>
    <col min="7" max="7" width="8.88671875" style="1"/>
    <col min="8" max="8" width="11.77734375" style="2" customWidth="1"/>
    <col min="9" max="9" width="14.44140625" style="2" customWidth="1"/>
    <col min="10" max="16384" width="8.88671875" style="5"/>
  </cols>
  <sheetData>
    <row r="1" spans="1:9" ht="25.2" customHeight="1" thickBot="1" x14ac:dyDescent="0.35">
      <c r="I1" s="41">
        <f>SUM(I3:I300)</f>
        <v>340470</v>
      </c>
    </row>
    <row r="2" spans="1:9" ht="16.8" thickBot="1" x14ac:dyDescent="0.35">
      <c r="A2" s="12" t="s">
        <v>76</v>
      </c>
      <c r="B2" s="13" t="s">
        <v>56</v>
      </c>
      <c r="C2" s="13" t="s">
        <v>57</v>
      </c>
      <c r="D2" s="13" t="s">
        <v>81</v>
      </c>
      <c r="E2" s="13" t="s">
        <v>77</v>
      </c>
      <c r="F2" s="14" t="s">
        <v>59</v>
      </c>
      <c r="G2" s="13" t="s">
        <v>60</v>
      </c>
      <c r="H2" s="14" t="s">
        <v>61</v>
      </c>
      <c r="I2" s="56" t="s">
        <v>62</v>
      </c>
    </row>
    <row r="3" spans="1:9" ht="16.8" thickBot="1" x14ac:dyDescent="0.35">
      <c r="A3" s="65" t="s">
        <v>48</v>
      </c>
      <c r="B3" s="63">
        <v>46023</v>
      </c>
      <c r="C3" s="57" t="s">
        <v>67</v>
      </c>
      <c r="D3" s="57" t="s">
        <v>82</v>
      </c>
      <c r="E3" s="57" t="s">
        <v>68</v>
      </c>
      <c r="F3" s="58">
        <v>3500</v>
      </c>
      <c r="G3" s="57">
        <v>60</v>
      </c>
      <c r="H3" s="58">
        <f>F3*G3</f>
        <v>210000</v>
      </c>
      <c r="I3" s="60">
        <f>H3</f>
        <v>210000</v>
      </c>
    </row>
    <row r="4" spans="1:9" ht="16.8" thickBot="1" x14ac:dyDescent="0.35">
      <c r="A4" s="65" t="s">
        <v>64</v>
      </c>
      <c r="B4" s="63">
        <v>46032</v>
      </c>
      <c r="C4" s="57" t="s">
        <v>69</v>
      </c>
      <c r="D4" s="57" t="s">
        <v>82</v>
      </c>
      <c r="E4" s="57" t="s">
        <v>70</v>
      </c>
      <c r="F4" s="59">
        <v>8750</v>
      </c>
      <c r="G4" s="57">
        <v>1</v>
      </c>
      <c r="H4" s="58">
        <f>F4*G4</f>
        <v>8750</v>
      </c>
      <c r="I4" s="60">
        <f>H4</f>
        <v>8750</v>
      </c>
    </row>
    <row r="5" spans="1:9" ht="16.8" thickBot="1" x14ac:dyDescent="0.35">
      <c r="A5" s="52" t="s">
        <v>65</v>
      </c>
      <c r="B5" s="64">
        <v>46043</v>
      </c>
      <c r="C5" s="8" t="s">
        <v>71</v>
      </c>
      <c r="D5" s="57" t="s">
        <v>82</v>
      </c>
      <c r="E5" s="8" t="s">
        <v>72</v>
      </c>
      <c r="F5" s="9">
        <v>8900</v>
      </c>
      <c r="G5" s="8">
        <v>1</v>
      </c>
      <c r="H5" s="53">
        <f>F5*G5</f>
        <v>8900</v>
      </c>
      <c r="I5" s="30">
        <f>H5</f>
        <v>8900</v>
      </c>
    </row>
    <row r="6" spans="1:9" ht="16.2" x14ac:dyDescent="0.3">
      <c r="A6" s="18" t="s">
        <v>66</v>
      </c>
      <c r="B6" s="19">
        <v>46057</v>
      </c>
      <c r="C6" s="20" t="s">
        <v>73</v>
      </c>
      <c r="D6" s="20" t="s">
        <v>82</v>
      </c>
      <c r="E6" s="20" t="s">
        <v>74</v>
      </c>
      <c r="F6" s="21">
        <v>91480</v>
      </c>
      <c r="G6" s="20">
        <v>1</v>
      </c>
      <c r="H6" s="47">
        <f>F6*G6</f>
        <v>91480</v>
      </c>
      <c r="I6" s="61"/>
    </row>
    <row r="7" spans="1:9" ht="16.2" x14ac:dyDescent="0.3">
      <c r="A7" s="50"/>
      <c r="D7" s="1" t="s">
        <v>83</v>
      </c>
      <c r="E7" s="1" t="s">
        <v>75</v>
      </c>
      <c r="F7" s="2">
        <v>50</v>
      </c>
      <c r="G7" s="1">
        <v>60</v>
      </c>
      <c r="H7" s="2">
        <f>F7*G7</f>
        <v>3000</v>
      </c>
      <c r="I7" s="62"/>
    </row>
    <row r="8" spans="1:9" ht="15.6" thickBot="1" x14ac:dyDescent="0.35">
      <c r="A8" s="52"/>
      <c r="B8" s="8"/>
      <c r="C8" s="7"/>
      <c r="D8" s="7"/>
      <c r="E8" s="7"/>
      <c r="F8" s="9"/>
      <c r="G8" s="8"/>
      <c r="H8" s="9"/>
      <c r="I8" s="30">
        <f>SUM(H6:H7)</f>
        <v>94480</v>
      </c>
    </row>
    <row r="9" spans="1:9" ht="16.2" x14ac:dyDescent="0.3">
      <c r="A9" s="18" t="s">
        <v>78</v>
      </c>
      <c r="B9" s="19">
        <v>46063</v>
      </c>
      <c r="C9" s="20" t="s">
        <v>84</v>
      </c>
      <c r="D9" s="20" t="s">
        <v>83</v>
      </c>
      <c r="E9" s="1" t="s">
        <v>85</v>
      </c>
      <c r="F9" s="2">
        <v>4460</v>
      </c>
      <c r="G9" s="1">
        <v>3</v>
      </c>
      <c r="H9" s="47">
        <f>F9*G9</f>
        <v>13380</v>
      </c>
      <c r="I9" s="62"/>
    </row>
    <row r="10" spans="1:9" ht="16.2" x14ac:dyDescent="0.3">
      <c r="A10" s="50"/>
      <c r="D10" s="1" t="s">
        <v>83</v>
      </c>
      <c r="E10" s="1" t="s">
        <v>86</v>
      </c>
      <c r="F10" s="2">
        <v>1490</v>
      </c>
      <c r="G10" s="1">
        <v>2</v>
      </c>
      <c r="H10" s="2">
        <f>F10*G10</f>
        <v>2980</v>
      </c>
      <c r="I10" s="62"/>
    </row>
    <row r="11" spans="1:9" ht="16.2" x14ac:dyDescent="0.3">
      <c r="A11" s="50"/>
      <c r="D11" s="1" t="s">
        <v>83</v>
      </c>
      <c r="E11" s="1" t="s">
        <v>87</v>
      </c>
      <c r="F11" s="2">
        <v>990</v>
      </c>
      <c r="G11" s="1">
        <v>2</v>
      </c>
      <c r="H11" s="2">
        <f>F11*G11</f>
        <v>1980</v>
      </c>
      <c r="I11" s="62"/>
    </row>
    <row r="12" spans="1:9" ht="15.6" thickBot="1" x14ac:dyDescent="0.35">
      <c r="A12" s="52"/>
      <c r="B12" s="8"/>
      <c r="C12" s="7"/>
      <c r="D12" s="7"/>
      <c r="E12" s="7"/>
      <c r="F12" s="9"/>
      <c r="G12" s="8"/>
      <c r="H12" s="9"/>
      <c r="I12" s="30">
        <f>SUM(H9:H11)</f>
        <v>18340</v>
      </c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278935-03CE-451B-B423-5C13E480791E}">
          <x14:formula1>
            <xm:f>設定!$G$2:$G$20</xm:f>
          </x14:formula1>
          <xm:sqref>C3:C6 C9</xm:sqref>
        </x14:dataValidation>
        <x14:dataValidation type="list" allowBlank="1" showInputMessage="1" showErrorMessage="1" xr:uid="{5EEB9174-EF9B-4D87-9BCA-CA89DF31F9A1}">
          <x14:formula1>
            <xm:f>設定!$H$2:$H$20</xm:f>
          </x14:formula1>
          <xm:sqref>E3:E7 E9:E11</xm:sqref>
        </x14:dataValidation>
        <x14:dataValidation type="list" allowBlank="1" showInputMessage="1" showErrorMessage="1" xr:uid="{B1EF102D-2E66-49BA-80CB-614BD9C48147}">
          <x14:formula1>
            <xm:f>設定!$F$2:$F$21</xm:f>
          </x14:formula1>
          <xm:sqref>D3:D7 D9:D11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96F8D-8F15-4B38-901C-6D5BFABB9106}">
  <dimension ref="A1"/>
  <sheetViews>
    <sheetView workbookViewId="0"/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C905E1-7C43-43DE-9423-A761D2CF0336}">
  <dimension ref="A1"/>
  <sheetViews>
    <sheetView workbookViewId="0">
      <selection activeCell="I19" sqref="I19"/>
    </sheetView>
  </sheetViews>
  <sheetFormatPr defaultRowHeight="16.2" x14ac:dyDescent="0.3"/>
  <sheetData/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5E5C58-13D7-4F8F-9D6E-8EF1B4D9C5F2}">
  <dimension ref="A1:J6"/>
  <sheetViews>
    <sheetView workbookViewId="0">
      <selection activeCell="C17" sqref="C17"/>
    </sheetView>
  </sheetViews>
  <sheetFormatPr defaultRowHeight="15" x14ac:dyDescent="0.3"/>
  <cols>
    <col min="1" max="1" width="16.109375" style="1" customWidth="1"/>
    <col min="2" max="2" width="11.5546875" style="1" customWidth="1"/>
    <col min="3" max="3" width="12.6640625" style="1" customWidth="1"/>
    <col min="4" max="4" width="12.109375" style="1" customWidth="1"/>
    <col min="5" max="5" width="11.21875" style="43" customWidth="1"/>
    <col min="6" max="6" width="10" style="1" customWidth="1"/>
    <col min="7" max="7" width="11" style="43" customWidth="1"/>
    <col min="8" max="8" width="10" style="43" customWidth="1"/>
    <col min="9" max="9" width="0.5546875" style="44" customWidth="1"/>
    <col min="10" max="10" width="11.44140625" style="1" customWidth="1"/>
    <col min="11" max="16384" width="8.88671875" style="1"/>
  </cols>
  <sheetData>
    <row r="1" spans="1:10" ht="15.6" thickBot="1" x14ac:dyDescent="0.35">
      <c r="H1" s="45">
        <f>SUM(H3:H300)</f>
        <v>22500</v>
      </c>
    </row>
    <row r="2" spans="1:10" ht="16.8" thickBot="1" x14ac:dyDescent="0.35">
      <c r="A2" s="12" t="s">
        <v>55</v>
      </c>
      <c r="B2" s="13" t="s">
        <v>56</v>
      </c>
      <c r="C2" s="13" t="s">
        <v>57</v>
      </c>
      <c r="D2" s="13" t="s">
        <v>58</v>
      </c>
      <c r="E2" s="14" t="s">
        <v>59</v>
      </c>
      <c r="F2" s="13" t="s">
        <v>60</v>
      </c>
      <c r="G2" s="14" t="s">
        <v>61</v>
      </c>
      <c r="H2" s="14" t="s">
        <v>62</v>
      </c>
      <c r="I2" s="46"/>
      <c r="J2" s="17" t="s">
        <v>63</v>
      </c>
    </row>
    <row r="3" spans="1:10" ht="16.2" x14ac:dyDescent="0.3">
      <c r="A3" s="18" t="s">
        <v>49</v>
      </c>
      <c r="B3" s="19">
        <v>46059</v>
      </c>
      <c r="C3" s="20" t="s">
        <v>51</v>
      </c>
      <c r="D3" s="20" t="s">
        <v>52</v>
      </c>
      <c r="E3" s="47">
        <v>2500</v>
      </c>
      <c r="F3" s="20">
        <v>2</v>
      </c>
      <c r="G3" s="47">
        <f>E3*F3</f>
        <v>5000</v>
      </c>
      <c r="H3" s="47"/>
      <c r="I3" s="48"/>
      <c r="J3" s="49" t="s">
        <v>50</v>
      </c>
    </row>
    <row r="4" spans="1:10" ht="16.2" x14ac:dyDescent="0.3">
      <c r="A4" s="50"/>
      <c r="D4" s="1" t="s">
        <v>53</v>
      </c>
      <c r="E4" s="43">
        <v>2500</v>
      </c>
      <c r="F4" s="1">
        <v>1</v>
      </c>
      <c r="G4" s="43">
        <f>E4*F4</f>
        <v>2500</v>
      </c>
      <c r="J4" s="51" t="s">
        <v>79</v>
      </c>
    </row>
    <row r="5" spans="1:10" ht="16.2" x14ac:dyDescent="0.3">
      <c r="A5" s="50"/>
      <c r="D5" s="1" t="s">
        <v>54</v>
      </c>
      <c r="E5" s="43">
        <v>15000</v>
      </c>
      <c r="F5" s="1">
        <v>1</v>
      </c>
      <c r="G5" s="43">
        <f>E5*F5</f>
        <v>15000</v>
      </c>
      <c r="J5" s="51" t="s">
        <v>80</v>
      </c>
    </row>
    <row r="6" spans="1:10" ht="15.6" thickBot="1" x14ac:dyDescent="0.35">
      <c r="A6" s="52"/>
      <c r="B6" s="8"/>
      <c r="C6" s="8"/>
      <c r="D6" s="8"/>
      <c r="E6" s="53"/>
      <c r="F6" s="8"/>
      <c r="G6" s="53"/>
      <c r="H6" s="53">
        <f>SUM(G3:G5)</f>
        <v>22500</v>
      </c>
      <c r="I6" s="54"/>
      <c r="J6" s="55"/>
    </row>
  </sheetData>
  <phoneticPr fontId="1" type="noConversion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E57993D-5E09-4D3F-A6E6-D978F5CE92FA}">
          <x14:formula1>
            <xm:f>設定!$I$2:$I$17</xm:f>
          </x14:formula1>
          <xm:sqref>C3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D41176-DF2B-40BE-A70C-28BF6C5BD135}">
  <dimension ref="A1:I10"/>
  <sheetViews>
    <sheetView tabSelected="1" workbookViewId="0">
      <selection activeCell="H17" sqref="H17"/>
    </sheetView>
  </sheetViews>
  <sheetFormatPr defaultRowHeight="15" x14ac:dyDescent="0.3"/>
  <cols>
    <col min="1" max="1" width="16.5546875" style="5" customWidth="1"/>
    <col min="2" max="2" width="15.44140625" style="5" customWidth="1"/>
    <col min="3" max="3" width="13.33203125" style="5" customWidth="1"/>
    <col min="4" max="4" width="15.44140625" style="5" customWidth="1"/>
    <col min="5" max="5" width="11.88671875" style="5" customWidth="1"/>
    <col min="6" max="6" width="13.5546875" style="5" customWidth="1"/>
    <col min="7" max="7" width="14.109375" style="5" customWidth="1"/>
    <col min="8" max="8" width="17" style="5" customWidth="1"/>
    <col min="9" max="9" width="13.109375" style="5" customWidth="1"/>
    <col min="10" max="16384" width="8.88671875" style="5"/>
  </cols>
  <sheetData>
    <row r="1" spans="1:9" ht="16.2" x14ac:dyDescent="0.3">
      <c r="A1" s="68" t="s">
        <v>123</v>
      </c>
      <c r="B1" s="68" t="s">
        <v>7</v>
      </c>
      <c r="C1" s="68" t="s">
        <v>124</v>
      </c>
      <c r="D1" s="68" t="s">
        <v>6</v>
      </c>
      <c r="E1" s="68" t="s">
        <v>15</v>
      </c>
      <c r="F1" s="68" t="s">
        <v>81</v>
      </c>
      <c r="G1" s="68" t="s">
        <v>125</v>
      </c>
      <c r="H1" s="68" t="s">
        <v>126</v>
      </c>
      <c r="I1" s="68" t="s">
        <v>127</v>
      </c>
    </row>
    <row r="2" spans="1:9" ht="16.2" x14ac:dyDescent="0.3">
      <c r="A2" s="1" t="s">
        <v>19</v>
      </c>
      <c r="B2" s="1" t="s">
        <v>20</v>
      </c>
      <c r="C2" s="1" t="s">
        <v>1</v>
      </c>
      <c r="D2" s="1" t="s">
        <v>18</v>
      </c>
      <c r="E2" s="1" t="s">
        <v>95</v>
      </c>
      <c r="F2" s="1" t="s">
        <v>96</v>
      </c>
      <c r="G2" s="1" t="s">
        <v>67</v>
      </c>
      <c r="H2" s="1" t="s">
        <v>68</v>
      </c>
      <c r="I2" s="1" t="s">
        <v>97</v>
      </c>
    </row>
    <row r="3" spans="1:9" ht="16.2" x14ac:dyDescent="0.3">
      <c r="A3" s="1" t="s">
        <v>98</v>
      </c>
      <c r="B3" s="1" t="s">
        <v>99</v>
      </c>
      <c r="D3" s="1" t="s">
        <v>100</v>
      </c>
      <c r="E3" s="1" t="s">
        <v>101</v>
      </c>
      <c r="F3" s="1" t="s">
        <v>102</v>
      </c>
      <c r="G3" s="1" t="s">
        <v>103</v>
      </c>
      <c r="H3" s="1" t="s">
        <v>104</v>
      </c>
    </row>
    <row r="4" spans="1:9" ht="16.2" x14ac:dyDescent="0.3">
      <c r="A4" s="1" t="s">
        <v>105</v>
      </c>
      <c r="B4" s="1"/>
      <c r="D4" s="1" t="s">
        <v>106</v>
      </c>
      <c r="F4" s="1" t="s">
        <v>107</v>
      </c>
      <c r="G4" s="1" t="s">
        <v>108</v>
      </c>
      <c r="H4" s="1" t="s">
        <v>109</v>
      </c>
    </row>
    <row r="5" spans="1:9" ht="16.2" x14ac:dyDescent="0.3">
      <c r="B5" s="1"/>
      <c r="D5" s="1" t="s">
        <v>110</v>
      </c>
      <c r="F5" s="1" t="s">
        <v>111</v>
      </c>
      <c r="G5" s="1" t="s">
        <v>112</v>
      </c>
      <c r="H5" s="1" t="s">
        <v>113</v>
      </c>
    </row>
    <row r="6" spans="1:9" ht="16.2" x14ac:dyDescent="0.3">
      <c r="B6" s="1"/>
      <c r="D6" s="1" t="s">
        <v>114</v>
      </c>
      <c r="G6" s="1" t="s">
        <v>115</v>
      </c>
      <c r="H6" s="1" t="s">
        <v>116</v>
      </c>
    </row>
    <row r="7" spans="1:9" ht="16.2" x14ac:dyDescent="0.3">
      <c r="B7" s="1"/>
      <c r="D7" s="1" t="s">
        <v>117</v>
      </c>
      <c r="H7" s="1" t="s">
        <v>118</v>
      </c>
    </row>
    <row r="8" spans="1:9" ht="16.2" x14ac:dyDescent="0.3">
      <c r="B8" s="1"/>
      <c r="D8" s="1" t="s">
        <v>119</v>
      </c>
      <c r="H8" s="1" t="s">
        <v>120</v>
      </c>
    </row>
    <row r="9" spans="1:9" ht="16.2" x14ac:dyDescent="0.3">
      <c r="B9" s="1"/>
      <c r="D9" s="1" t="s">
        <v>121</v>
      </c>
      <c r="H9" s="1" t="s">
        <v>122</v>
      </c>
    </row>
    <row r="10" spans="1:9" x14ac:dyDescent="0.3">
      <c r="B10" s="1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現金帳</vt:lpstr>
      <vt:lpstr>進貨</vt:lpstr>
      <vt:lpstr>鎖貨</vt:lpstr>
      <vt:lpstr>庫存</vt:lpstr>
      <vt:lpstr>儀器</vt:lpstr>
      <vt:lpstr>設定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Teying Chang</dc:creator>
  <cp:lastModifiedBy>Teying Chang</cp:lastModifiedBy>
  <dcterms:created xsi:type="dcterms:W3CDTF">2026-02-24T03:51:15Z</dcterms:created>
  <dcterms:modified xsi:type="dcterms:W3CDTF">2026-03-03T02:53:43Z</dcterms:modified>
</cp:coreProperties>
</file>